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lian Herreño\Music\unu\"/>
    </mc:Choice>
  </mc:AlternateContent>
  <xr:revisionPtr revIDLastSave="0" documentId="13_ncr:1_{2D970A1D-E0E0-4899-ADE1-C2972EFF61C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spuestas de formulario 1" sheetId="1" r:id="rId1"/>
    <sheet name="Tabulació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5" i="2" l="1"/>
  <c r="D74" i="2" s="1"/>
  <c r="C68" i="2"/>
  <c r="D67" i="2" s="1"/>
  <c r="C61" i="2"/>
  <c r="D59" i="2" s="1"/>
  <c r="D61" i="2" s="1"/>
  <c r="D60" i="2"/>
  <c r="C54" i="2"/>
  <c r="D53" i="2"/>
  <c r="D52" i="2"/>
  <c r="D51" i="2"/>
  <c r="D54" i="2" s="1"/>
  <c r="C46" i="2"/>
  <c r="D45" i="2" s="1"/>
  <c r="C39" i="2"/>
  <c r="D36" i="2" s="1"/>
  <c r="D39" i="2" s="1"/>
  <c r="D38" i="2"/>
  <c r="D37" i="2"/>
  <c r="C31" i="2"/>
  <c r="D29" i="2" s="1"/>
  <c r="D30" i="2"/>
  <c r="D28" i="2"/>
  <c r="D31" i="2" s="1"/>
  <c r="C23" i="2"/>
  <c r="D22" i="2" s="1"/>
  <c r="C15" i="2"/>
  <c r="D14" i="2"/>
  <c r="D13" i="2"/>
  <c r="D12" i="2"/>
  <c r="D15" i="2" s="1"/>
  <c r="C7" i="2"/>
  <c r="D6" i="2" s="1"/>
  <c r="D5" i="2"/>
  <c r="D7" i="2" s="1"/>
  <c r="D66" i="2" l="1"/>
  <c r="D68" i="2" s="1"/>
  <c r="D44" i="2"/>
  <c r="D46" i="2" s="1"/>
  <c r="D20" i="2"/>
  <c r="D73" i="2"/>
  <c r="D75" i="2" s="1"/>
  <c r="D21" i="2"/>
  <c r="D23" i="2" l="1"/>
</calcChain>
</file>

<file path=xl/sharedStrings.xml><?xml version="1.0" encoding="utf-8"?>
<sst xmlns="http://schemas.openxmlformats.org/spreadsheetml/2006/main" count="417" uniqueCount="63">
  <si>
    <t>Marca temporal</t>
  </si>
  <si>
    <t>Nombre Completo</t>
  </si>
  <si>
    <t>1.¿Has probado los Mochis?</t>
  </si>
  <si>
    <t>2.¿Te gustaría probar Mochis sumergidos en nitrógeno liquido, con una experiencia de "humo" que da el nitrógeno liquido?</t>
  </si>
  <si>
    <t>3.¿Probarías un Mochi recién sumergido en el nitrógeno liquido sin esperar indicaciones?</t>
  </si>
  <si>
    <t>4.¿Consideras importante recibir instrucciones del consumo del nitrógeno liquido antes de probarlo?</t>
  </si>
  <si>
    <t>5.¿Estarías dispuesto a recibir instrucciones antes de consumir el Mochi sumergido en nitrógeno liquido si el vendedor te indica?</t>
  </si>
  <si>
    <t>6.¿Te parece atractivo el efecto del humo saliendo del mochi y expulsando vapor por tu boca?</t>
  </si>
  <si>
    <t>7.¿Conocías los postres sumergidos en nitrógeno liquido en los postres antes de hoy?</t>
  </si>
  <si>
    <t>8.¿Te gustaría mirar la preparación de como se sumerje el mochi bajo nitrógeno liquido</t>
  </si>
  <si>
    <t>9.¿Consideras que el Nitrógeno liquido es algo innovador para la implementación en la comida además de los postres y cócteles?</t>
  </si>
  <si>
    <t>10.¿Crees que este tipo de preparación pude atraer a los jóvenes?</t>
  </si>
  <si>
    <t>Isabella Barrote Carvajal</t>
  </si>
  <si>
    <t>Si</t>
  </si>
  <si>
    <t>No</t>
  </si>
  <si>
    <t>Tal vez</t>
  </si>
  <si>
    <t xml:space="preserve">Dana Valentina Vargas Tovar </t>
  </si>
  <si>
    <t>No por que siento que seria peligroso</t>
  </si>
  <si>
    <t>Ya las conozco</t>
  </si>
  <si>
    <t>Solo los habia Visto en internet</t>
  </si>
  <si>
    <t xml:space="preserve">Sergio Andrés Hernández Murillo </t>
  </si>
  <si>
    <t>Opción 3</t>
  </si>
  <si>
    <t xml:space="preserve">Nicoll Daniela Delgado Rodas </t>
  </si>
  <si>
    <t xml:space="preserve">Juan Diego Montaño Parra </t>
  </si>
  <si>
    <t xml:space="preserve">Sofía Hernández </t>
  </si>
  <si>
    <t>Valentina Vera</t>
  </si>
  <si>
    <t xml:space="preserve">Slendy Samanta Moreno Cardenas </t>
  </si>
  <si>
    <t xml:space="preserve">Allison Brigitte Vega Contreras </t>
  </si>
  <si>
    <t xml:space="preserve">Angela Ruiz </t>
  </si>
  <si>
    <t>Jhonatan Santiago Bautista Romero</t>
  </si>
  <si>
    <t xml:space="preserve">Allíson Rojas </t>
  </si>
  <si>
    <t xml:space="preserve">Ashly Rincon </t>
  </si>
  <si>
    <t xml:space="preserve">Jhoan Sebastián Rojas Gomez </t>
  </si>
  <si>
    <t xml:space="preserve">Emily Anay choconta acuña </t>
  </si>
  <si>
    <t xml:space="preserve">Santiago Gómez Ordóñez </t>
  </si>
  <si>
    <t xml:space="preserve">Edwin javier Pérez Domínguez </t>
  </si>
  <si>
    <t xml:space="preserve">Michelle Camila Aguillon Dueñas </t>
  </si>
  <si>
    <t xml:space="preserve">Karol Valero Marantá </t>
  </si>
  <si>
    <t>Maria alejandra silva bastidas</t>
  </si>
  <si>
    <t xml:space="preserve">Jefry Sebastian Ramirez Garzon </t>
  </si>
  <si>
    <t>Adrián Felipe Echeverri Arenas</t>
  </si>
  <si>
    <t xml:space="preserve">Maira Valentina Cárdenas </t>
  </si>
  <si>
    <t xml:space="preserve">Juan Felipe Corredor Robayo </t>
  </si>
  <si>
    <t>Karoll Ortiz</t>
  </si>
  <si>
    <t>Fernanda P</t>
  </si>
  <si>
    <t>Sharit Vargas</t>
  </si>
  <si>
    <t xml:space="preserve">Santiago Sánchez </t>
  </si>
  <si>
    <t xml:space="preserve">Dará Stefania Guacaneme Rodríguez </t>
  </si>
  <si>
    <t>Valeria Onatra</t>
  </si>
  <si>
    <t>¿Has probado los Mochis?</t>
  </si>
  <si>
    <t>RESPUESTAS</t>
  </si>
  <si>
    <t>FRECUENCIAS</t>
  </si>
  <si>
    <t>%</t>
  </si>
  <si>
    <t>TOTAL</t>
  </si>
  <si>
    <t>¿Te gustaría probar Mochis sumergidos en nitrógeno liquido, con una experiencia de "humo" que da el nitrógeno liquido?</t>
  </si>
  <si>
    <t>¿Probarías un Mochi recién sumergido en el nitrógeno liquido sin esperar indicaciones?</t>
  </si>
  <si>
    <t>¿Consideras importante recibir instrucciones del consumo del nitrógeno liquido antes de probarlo?</t>
  </si>
  <si>
    <t>¿Estarías dispuesto a recibir instrucciones antes de consumir el Mochi sumergido en nitrógeno liquido si el vendedor te indica?</t>
  </si>
  <si>
    <t>¿Te parece atractivo el efecto del humo saliendo del mochi y expulsando vapor por tu boca?</t>
  </si>
  <si>
    <t>¿Conocías los postres sumergidos en nitrógeno liquido en los postres antes de hoy?</t>
  </si>
  <si>
    <t>¿Te gustaría mirar la preparación de como se sumerje el mochi bajo nitrógeno liquido</t>
  </si>
  <si>
    <t>¿Consideras que el Nitrógeno liquido es algo innovador para la implementación en la comida además de los postres y cócteles?</t>
  </si>
  <si>
    <t>¿Crees que este tipo de preparación pude atraer a los jóvenes?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</si>
</sst>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b/>
      <sz val="20"/>
      <name val="Arial"/>
    </font>
    <font>
      <b/>
      <sz val="9"/>
      <color rgb="FFFFFFFF"/>
      <name val="Arial"/>
    </font>
    <font>
      <b/>
      <sz val="9"/>
      <name val="Arial"/>
    </font>
    <font>
      <sz val="8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3E8E"/>
      </patternFill>
    </fill>
    <fill>
      <patternFill patternType="solid">
        <fgColor rgb="FFFFD966"/>
      </patternFill>
    </fill>
    <fill>
      <patternFill patternType="solid">
        <fgColor rgb="FFFFFFFF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9" fontId="7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9" fontId="5" fillId="5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 defaultTableStyle="TableStyleMedium9" defaultPivotStyle="PivotStyleLight16">
    <tableStyle name="Invisible" pivot="0" table="0" count="0" xr9:uid="{00000000-0011-0000-FFFF-FFFF00000000}"/>
    <tableStyle name="Respuestas de formulario 1-style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31">
  <autoFilter ref="A1:L31" xr:uid="{00000000-000C-0000-FFFF-FFFF00000000}"/>
  <tableColumns count="12">
    <tableColumn id="1" xr3:uid="{00000000-0010-0000-0000-000001000000}" name="Marca temporal"/>
    <tableColumn id="2" xr3:uid="{00000000-0010-0000-0000-000002000000}" name="Nombre Completo"/>
    <tableColumn id="3" xr3:uid="{00000000-0010-0000-0000-000003000000}" name="1.¿Has probado los Mochis?"/>
    <tableColumn id="4" xr3:uid="{00000000-0010-0000-0000-000004000000}" name="2.¿Te gustaría probar Mochis sumergidos en nitrógeno liquido, con una experiencia de &quot;humo&quot; que da el nitrógeno liquido?"/>
    <tableColumn id="5" xr3:uid="{00000000-0010-0000-0000-000005000000}" name="3.¿Probarías un Mochi recién sumergido en el nitrógeno liquido sin esperar indicaciones?"/>
    <tableColumn id="6" xr3:uid="{00000000-0010-0000-0000-000006000000}" name="4.¿Consideras importante recibir instrucciones del consumo del nitrógeno liquido antes de probarlo?"/>
    <tableColumn id="7" xr3:uid="{00000000-0010-0000-0000-000007000000}" name="5.¿Estarías dispuesto a recibir instrucciones antes de consumir el Mochi sumergido en nitrógeno liquido si el vendedor te indica?"/>
    <tableColumn id="8" xr3:uid="{00000000-0010-0000-0000-000008000000}" name="6.¿Te parece atractivo el efecto del humo saliendo del mochi y expulsando vapor por tu boca?"/>
    <tableColumn id="9" xr3:uid="{00000000-0010-0000-0000-000009000000}" name="7.¿Conocías los postres sumergidos en nitrógeno liquido en los postres antes de hoy?"/>
    <tableColumn id="10" xr3:uid="{00000000-0010-0000-0000-00000A000000}" name="8.¿Te gustaría mirar la preparación de como se sumerje el mochi bajo nitrógeno liquido"/>
    <tableColumn id="11" xr3:uid="{00000000-0010-0000-0000-00000B000000}" name="9.¿Consideras que el Nitrógeno liquido es algo innovador para la implementación en la comida además de los postres y cócteles?"/>
    <tableColumn id="12" xr3:uid="{00000000-0010-0000-0000-00000C000000}" name="10.¿Crees que este tipo de preparación pude atraer a los jóvenes?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31"/>
  <sheetViews>
    <sheetView topLeftCell="I1" workbookViewId="0">
      <selection activeCell="L1" sqref="L1"/>
    </sheetView>
  </sheetViews>
  <sheetFormatPr baseColWidth="10" defaultColWidth="12.5703125" defaultRowHeight="15.75" customHeight="1" x14ac:dyDescent="0.2"/>
  <cols>
    <col min="1" max="2" width="18.85546875" customWidth="1"/>
    <col min="3" max="3" width="25.85546875" customWidth="1"/>
    <col min="4" max="12" width="37.5703125" customWidth="1"/>
    <col min="13" max="18" width="18.85546875" customWidth="1"/>
  </cols>
  <sheetData>
    <row r="1" spans="1:12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.5" customHeight="1" x14ac:dyDescent="0.2">
      <c r="A2" s="2">
        <v>46284.460542442132</v>
      </c>
      <c r="B2" s="3" t="s">
        <v>12</v>
      </c>
      <c r="C2" s="4" t="s">
        <v>13</v>
      </c>
      <c r="D2" s="3" t="s">
        <v>14</v>
      </c>
      <c r="E2" s="3" t="s">
        <v>13</v>
      </c>
      <c r="F2" s="3" t="s">
        <v>14</v>
      </c>
      <c r="G2" s="3" t="s">
        <v>15</v>
      </c>
      <c r="H2" s="3" t="s">
        <v>13</v>
      </c>
      <c r="I2" s="3" t="s">
        <v>14</v>
      </c>
      <c r="J2" s="3" t="s">
        <v>13</v>
      </c>
      <c r="K2" s="3" t="s">
        <v>14</v>
      </c>
      <c r="L2" s="3" t="s">
        <v>14</v>
      </c>
    </row>
    <row r="3" spans="1:12" ht="22.5" customHeight="1" x14ac:dyDescent="0.2">
      <c r="A3" s="2">
        <v>46284.460569525458</v>
      </c>
      <c r="B3" s="3" t="s">
        <v>16</v>
      </c>
      <c r="C3" s="3" t="s">
        <v>14</v>
      </c>
      <c r="D3" s="3" t="s">
        <v>17</v>
      </c>
      <c r="E3" s="3" t="s">
        <v>13</v>
      </c>
      <c r="F3" s="3" t="s">
        <v>18</v>
      </c>
      <c r="G3" s="3" t="s">
        <v>15</v>
      </c>
      <c r="H3" s="3" t="s">
        <v>14</v>
      </c>
      <c r="I3" s="3" t="s">
        <v>19</v>
      </c>
      <c r="J3" s="3" t="s">
        <v>14</v>
      </c>
      <c r="K3" s="3" t="s">
        <v>14</v>
      </c>
      <c r="L3" s="3" t="s">
        <v>14</v>
      </c>
    </row>
    <row r="4" spans="1:12" ht="22.5" customHeight="1" x14ac:dyDescent="0.2">
      <c r="A4" s="2">
        <v>46284.461663113427</v>
      </c>
      <c r="B4" s="3" t="s">
        <v>20</v>
      </c>
      <c r="C4" s="3" t="s">
        <v>14</v>
      </c>
      <c r="D4" s="3" t="s">
        <v>17</v>
      </c>
      <c r="E4" s="3" t="s">
        <v>21</v>
      </c>
      <c r="F4" s="3" t="s">
        <v>18</v>
      </c>
      <c r="G4" s="3" t="s">
        <v>15</v>
      </c>
      <c r="H4" s="3" t="s">
        <v>14</v>
      </c>
      <c r="I4" s="3" t="s">
        <v>19</v>
      </c>
      <c r="J4" s="3" t="s">
        <v>14</v>
      </c>
      <c r="K4" s="3" t="s">
        <v>14</v>
      </c>
      <c r="L4" s="3" t="s">
        <v>14</v>
      </c>
    </row>
    <row r="5" spans="1:12" ht="22.5" customHeight="1" x14ac:dyDescent="0.2">
      <c r="A5" s="2">
        <v>46284.461664479168</v>
      </c>
      <c r="B5" s="3" t="s">
        <v>22</v>
      </c>
      <c r="C5" s="3" t="s">
        <v>14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14</v>
      </c>
      <c r="J5" s="3" t="s">
        <v>13</v>
      </c>
      <c r="K5" s="3" t="s">
        <v>13</v>
      </c>
      <c r="L5" s="3" t="s">
        <v>13</v>
      </c>
    </row>
    <row r="6" spans="1:12" ht="22.5" customHeight="1" x14ac:dyDescent="0.2">
      <c r="A6" s="2">
        <v>46284.461983090281</v>
      </c>
      <c r="B6" s="3" t="s">
        <v>23</v>
      </c>
      <c r="C6" s="3" t="s">
        <v>14</v>
      </c>
      <c r="D6" s="3" t="s">
        <v>13</v>
      </c>
      <c r="E6" s="3" t="s">
        <v>14</v>
      </c>
      <c r="F6" s="3" t="s">
        <v>13</v>
      </c>
      <c r="G6" s="3" t="s">
        <v>13</v>
      </c>
      <c r="H6" s="3" t="s">
        <v>13</v>
      </c>
      <c r="I6" s="3" t="s">
        <v>14</v>
      </c>
      <c r="J6" s="3" t="s">
        <v>13</v>
      </c>
      <c r="K6" s="3" t="s">
        <v>13</v>
      </c>
      <c r="L6" s="3" t="s">
        <v>13</v>
      </c>
    </row>
    <row r="7" spans="1:12" ht="22.5" customHeight="1" x14ac:dyDescent="0.2">
      <c r="A7" s="2">
        <v>46284.462257870371</v>
      </c>
      <c r="B7" s="3" t="s">
        <v>24</v>
      </c>
      <c r="C7" s="3" t="s">
        <v>14</v>
      </c>
      <c r="D7" s="3" t="s">
        <v>13</v>
      </c>
      <c r="E7" s="3" t="s">
        <v>14</v>
      </c>
      <c r="F7" s="3" t="s">
        <v>13</v>
      </c>
      <c r="G7" s="3" t="s">
        <v>13</v>
      </c>
      <c r="H7" s="3" t="s">
        <v>13</v>
      </c>
      <c r="I7" s="3" t="s">
        <v>19</v>
      </c>
      <c r="J7" s="3" t="s">
        <v>13</v>
      </c>
      <c r="K7" s="3" t="s">
        <v>13</v>
      </c>
      <c r="L7" s="3" t="s">
        <v>13</v>
      </c>
    </row>
    <row r="8" spans="1:12" ht="22.5" customHeight="1" x14ac:dyDescent="0.2">
      <c r="A8" s="2">
        <v>46284.462304722219</v>
      </c>
      <c r="B8" s="3" t="s">
        <v>25</v>
      </c>
      <c r="C8" s="3" t="s">
        <v>14</v>
      </c>
      <c r="D8" s="3" t="s">
        <v>13</v>
      </c>
      <c r="E8" s="3" t="s">
        <v>14</v>
      </c>
      <c r="F8" s="3" t="s">
        <v>13</v>
      </c>
      <c r="G8" s="3" t="s">
        <v>13</v>
      </c>
      <c r="H8" s="3" t="s">
        <v>13</v>
      </c>
      <c r="I8" s="3" t="s">
        <v>19</v>
      </c>
      <c r="J8" s="3" t="s">
        <v>13</v>
      </c>
      <c r="K8" s="3" t="s">
        <v>13</v>
      </c>
      <c r="L8" s="3" t="s">
        <v>13</v>
      </c>
    </row>
    <row r="9" spans="1:12" ht="22.5" customHeight="1" x14ac:dyDescent="0.2">
      <c r="A9" s="2">
        <v>46284.462409467589</v>
      </c>
      <c r="B9" s="3" t="s">
        <v>26</v>
      </c>
      <c r="C9" s="3" t="s">
        <v>14</v>
      </c>
      <c r="D9" s="3" t="s">
        <v>14</v>
      </c>
      <c r="E9" s="3" t="s">
        <v>14</v>
      </c>
      <c r="F9" s="3" t="s">
        <v>13</v>
      </c>
      <c r="G9" s="3" t="s">
        <v>13</v>
      </c>
      <c r="H9" s="3" t="s">
        <v>13</v>
      </c>
      <c r="I9" s="3" t="s">
        <v>14</v>
      </c>
      <c r="J9" s="3" t="s">
        <v>13</v>
      </c>
      <c r="K9" s="3" t="s">
        <v>13</v>
      </c>
      <c r="L9" s="3" t="s">
        <v>13</v>
      </c>
    </row>
    <row r="10" spans="1:12" ht="22.5" customHeight="1" x14ac:dyDescent="0.2">
      <c r="A10" s="2">
        <v>46284.462745254626</v>
      </c>
      <c r="B10" s="3" t="s">
        <v>27</v>
      </c>
      <c r="C10" s="3" t="s">
        <v>14</v>
      </c>
      <c r="D10" s="3" t="s">
        <v>14</v>
      </c>
      <c r="E10" s="3" t="s">
        <v>13</v>
      </c>
      <c r="F10" s="3" t="s">
        <v>13</v>
      </c>
      <c r="G10" s="3" t="s">
        <v>13</v>
      </c>
      <c r="H10" s="3" t="s">
        <v>13</v>
      </c>
      <c r="I10" s="3" t="s">
        <v>13</v>
      </c>
      <c r="J10" s="3" t="s">
        <v>13</v>
      </c>
      <c r="K10" s="3" t="s">
        <v>13</v>
      </c>
      <c r="L10" s="3" t="s">
        <v>13</v>
      </c>
    </row>
    <row r="11" spans="1:12" ht="22.5" customHeight="1" x14ac:dyDescent="0.2">
      <c r="A11" s="2">
        <v>46284.464404999999</v>
      </c>
      <c r="B11" s="3" t="s">
        <v>28</v>
      </c>
      <c r="C11" s="3" t="s">
        <v>14</v>
      </c>
      <c r="D11" s="3" t="s">
        <v>14</v>
      </c>
      <c r="E11" s="3" t="s">
        <v>14</v>
      </c>
      <c r="F11" s="3" t="s">
        <v>13</v>
      </c>
      <c r="G11" s="3" t="s">
        <v>14</v>
      </c>
      <c r="H11" s="3" t="s">
        <v>14</v>
      </c>
      <c r="I11" s="3" t="s">
        <v>14</v>
      </c>
      <c r="J11" s="3" t="s">
        <v>14</v>
      </c>
      <c r="K11" s="3" t="s">
        <v>14</v>
      </c>
      <c r="L11" s="3" t="s">
        <v>14</v>
      </c>
    </row>
    <row r="12" spans="1:12" ht="22.5" customHeight="1" x14ac:dyDescent="0.2">
      <c r="A12" s="2">
        <v>46284.466196979163</v>
      </c>
      <c r="B12" s="3" t="s">
        <v>29</v>
      </c>
      <c r="C12" s="3" t="s">
        <v>13</v>
      </c>
      <c r="D12" s="3" t="s">
        <v>13</v>
      </c>
      <c r="E12" s="3" t="s">
        <v>13</v>
      </c>
      <c r="F12" s="3" t="s">
        <v>13</v>
      </c>
      <c r="G12" s="3" t="s">
        <v>13</v>
      </c>
      <c r="H12" s="3" t="s">
        <v>13</v>
      </c>
      <c r="I12" s="3" t="s">
        <v>13</v>
      </c>
      <c r="J12" s="3" t="s">
        <v>13</v>
      </c>
      <c r="K12" s="3" t="s">
        <v>13</v>
      </c>
      <c r="L12" s="3" t="s">
        <v>13</v>
      </c>
    </row>
    <row r="13" spans="1:12" ht="22.5" customHeight="1" x14ac:dyDescent="0.2">
      <c r="A13" s="2">
        <v>46284.466430277767</v>
      </c>
      <c r="B13" s="3" t="s">
        <v>30</v>
      </c>
      <c r="C13" s="3" t="s">
        <v>13</v>
      </c>
      <c r="D13" s="3" t="s">
        <v>13</v>
      </c>
      <c r="E13" s="3" t="s">
        <v>13</v>
      </c>
      <c r="F13" s="3" t="s">
        <v>13</v>
      </c>
      <c r="G13" s="3" t="s">
        <v>13</v>
      </c>
      <c r="H13" s="3" t="s">
        <v>13</v>
      </c>
      <c r="I13" s="3" t="s">
        <v>13</v>
      </c>
      <c r="J13" s="3" t="s">
        <v>13</v>
      </c>
      <c r="K13" s="3" t="s">
        <v>13</v>
      </c>
      <c r="L13" s="3" t="s">
        <v>13</v>
      </c>
    </row>
    <row r="14" spans="1:12" ht="22.5" customHeight="1" x14ac:dyDescent="0.2">
      <c r="A14" s="2">
        <v>46284.466548993063</v>
      </c>
      <c r="B14" s="3" t="s">
        <v>31</v>
      </c>
      <c r="C14" s="3" t="s">
        <v>14</v>
      </c>
      <c r="D14" s="3" t="s">
        <v>17</v>
      </c>
      <c r="E14" s="3" t="s">
        <v>14</v>
      </c>
      <c r="F14" s="3" t="s">
        <v>14</v>
      </c>
      <c r="G14" s="3" t="s">
        <v>14</v>
      </c>
      <c r="H14" s="3" t="s">
        <v>14</v>
      </c>
      <c r="I14" s="3" t="s">
        <v>14</v>
      </c>
      <c r="J14" s="3" t="s">
        <v>14</v>
      </c>
      <c r="K14" s="3" t="s">
        <v>14</v>
      </c>
      <c r="L14" s="3" t="s">
        <v>14</v>
      </c>
    </row>
    <row r="15" spans="1:12" ht="22.5" customHeight="1" x14ac:dyDescent="0.2">
      <c r="A15" s="2">
        <v>46284.469956458342</v>
      </c>
      <c r="B15" s="3" t="s">
        <v>32</v>
      </c>
      <c r="C15" s="3" t="s">
        <v>13</v>
      </c>
      <c r="D15" s="3" t="s">
        <v>17</v>
      </c>
      <c r="E15" s="3" t="s">
        <v>13</v>
      </c>
      <c r="F15" s="3" t="s">
        <v>18</v>
      </c>
      <c r="G15" s="3" t="s">
        <v>15</v>
      </c>
      <c r="H15" s="3" t="s">
        <v>14</v>
      </c>
      <c r="I15" s="3" t="s">
        <v>19</v>
      </c>
      <c r="J15" s="3" t="s">
        <v>14</v>
      </c>
      <c r="K15" s="3" t="s">
        <v>13</v>
      </c>
      <c r="L15" s="3" t="s">
        <v>14</v>
      </c>
    </row>
    <row r="16" spans="1:12" ht="22.5" customHeight="1" x14ac:dyDescent="0.2">
      <c r="A16" s="2">
        <v>46284.474042372683</v>
      </c>
      <c r="B16" s="3" t="s">
        <v>33</v>
      </c>
      <c r="C16" s="3" t="s">
        <v>13</v>
      </c>
      <c r="D16" s="3" t="s">
        <v>13</v>
      </c>
      <c r="E16" s="3" t="s">
        <v>13</v>
      </c>
      <c r="F16" s="3" t="s">
        <v>13</v>
      </c>
      <c r="G16" s="3" t="s">
        <v>13</v>
      </c>
      <c r="H16" s="3" t="s">
        <v>13</v>
      </c>
      <c r="I16" s="3" t="s">
        <v>13</v>
      </c>
      <c r="J16" s="3" t="s">
        <v>13</v>
      </c>
      <c r="K16" s="3" t="s">
        <v>13</v>
      </c>
      <c r="L16" s="3" t="s">
        <v>13</v>
      </c>
    </row>
    <row r="17" spans="1:12" ht="22.5" customHeight="1" x14ac:dyDescent="0.2">
      <c r="A17" s="2">
        <v>46284.476917083332</v>
      </c>
      <c r="B17" s="3" t="s">
        <v>34</v>
      </c>
      <c r="C17" s="3" t="s">
        <v>13</v>
      </c>
      <c r="D17" s="3" t="s">
        <v>13</v>
      </c>
      <c r="E17" s="3" t="s">
        <v>14</v>
      </c>
      <c r="F17" s="3" t="s">
        <v>13</v>
      </c>
      <c r="G17" s="3" t="s">
        <v>13</v>
      </c>
      <c r="H17" s="3" t="s">
        <v>13</v>
      </c>
      <c r="I17" s="3" t="s">
        <v>13</v>
      </c>
      <c r="J17" s="3" t="s">
        <v>13</v>
      </c>
      <c r="K17" s="3" t="s">
        <v>13</v>
      </c>
      <c r="L17" s="3" t="s">
        <v>13</v>
      </c>
    </row>
    <row r="18" spans="1:12" ht="22.5" customHeight="1" x14ac:dyDescent="0.2">
      <c r="A18" s="2">
        <v>46284.47783625</v>
      </c>
      <c r="B18" s="3" t="s">
        <v>35</v>
      </c>
      <c r="C18" s="3" t="s">
        <v>14</v>
      </c>
      <c r="D18" s="3" t="s">
        <v>13</v>
      </c>
      <c r="E18" s="3" t="s">
        <v>14</v>
      </c>
      <c r="F18" s="3" t="s">
        <v>13</v>
      </c>
      <c r="G18" s="3" t="s">
        <v>13</v>
      </c>
      <c r="H18" s="3" t="s">
        <v>13</v>
      </c>
      <c r="I18" s="3" t="s">
        <v>14</v>
      </c>
      <c r="J18" s="3" t="s">
        <v>13</v>
      </c>
      <c r="K18" s="3" t="s">
        <v>13</v>
      </c>
      <c r="L18" s="3" t="s">
        <v>13</v>
      </c>
    </row>
    <row r="19" spans="1:12" ht="22.5" customHeight="1" x14ac:dyDescent="0.2">
      <c r="A19" s="2">
        <v>46284.478714745368</v>
      </c>
      <c r="B19" s="3" t="s">
        <v>36</v>
      </c>
      <c r="C19" s="3" t="s">
        <v>13</v>
      </c>
      <c r="D19" s="3" t="s">
        <v>13</v>
      </c>
      <c r="E19" s="3" t="s">
        <v>13</v>
      </c>
      <c r="F19" s="3" t="s">
        <v>13</v>
      </c>
      <c r="G19" s="3" t="s">
        <v>13</v>
      </c>
      <c r="H19" s="3" t="s">
        <v>13</v>
      </c>
      <c r="I19" s="3" t="s">
        <v>13</v>
      </c>
      <c r="J19" s="3" t="s">
        <v>13</v>
      </c>
      <c r="K19" s="3" t="s">
        <v>13</v>
      </c>
      <c r="L19" s="3" t="s">
        <v>13</v>
      </c>
    </row>
    <row r="20" spans="1:12" ht="22.5" customHeight="1" x14ac:dyDescent="0.2">
      <c r="A20" s="2">
        <v>46284.487691469913</v>
      </c>
      <c r="B20" s="3" t="s">
        <v>37</v>
      </c>
      <c r="C20" s="3" t="s">
        <v>13</v>
      </c>
      <c r="D20" s="3" t="s">
        <v>13</v>
      </c>
      <c r="E20" s="3" t="s">
        <v>13</v>
      </c>
      <c r="F20" s="3" t="s">
        <v>18</v>
      </c>
      <c r="G20" s="3" t="s">
        <v>13</v>
      </c>
      <c r="H20" s="3" t="s">
        <v>13</v>
      </c>
      <c r="I20" s="3" t="s">
        <v>19</v>
      </c>
      <c r="J20" s="3" t="s">
        <v>13</v>
      </c>
      <c r="K20" s="3" t="s">
        <v>13</v>
      </c>
      <c r="L20" s="3" t="s">
        <v>13</v>
      </c>
    </row>
    <row r="21" spans="1:12" ht="22.5" customHeight="1" x14ac:dyDescent="0.2">
      <c r="A21" s="2">
        <v>46284.487772881941</v>
      </c>
      <c r="B21" s="3" t="s">
        <v>38</v>
      </c>
      <c r="C21" s="3" t="s">
        <v>14</v>
      </c>
      <c r="D21" s="3" t="s">
        <v>13</v>
      </c>
      <c r="E21" s="3" t="s">
        <v>14</v>
      </c>
      <c r="F21" s="3" t="s">
        <v>13</v>
      </c>
      <c r="G21" s="3" t="s">
        <v>13</v>
      </c>
      <c r="H21" s="3" t="s">
        <v>13</v>
      </c>
      <c r="I21" s="3" t="s">
        <v>19</v>
      </c>
      <c r="J21" s="3" t="s">
        <v>13</v>
      </c>
      <c r="K21" s="3" t="s">
        <v>13</v>
      </c>
      <c r="L21" s="3" t="s">
        <v>13</v>
      </c>
    </row>
    <row r="22" spans="1:12" ht="22.5" customHeight="1" x14ac:dyDescent="0.2">
      <c r="A22" s="2">
        <v>46284.488588946762</v>
      </c>
      <c r="B22" s="3" t="s">
        <v>39</v>
      </c>
      <c r="C22" s="3" t="s">
        <v>14</v>
      </c>
      <c r="D22" s="3" t="s">
        <v>13</v>
      </c>
      <c r="E22" s="3" t="s">
        <v>14</v>
      </c>
      <c r="F22" s="3" t="s">
        <v>13</v>
      </c>
      <c r="G22" s="3" t="s">
        <v>13</v>
      </c>
      <c r="H22" s="3" t="s">
        <v>13</v>
      </c>
      <c r="I22" s="3" t="s">
        <v>13</v>
      </c>
      <c r="J22" s="3" t="s">
        <v>13</v>
      </c>
      <c r="K22" s="3" t="s">
        <v>14</v>
      </c>
      <c r="L22" s="3" t="s">
        <v>13</v>
      </c>
    </row>
    <row r="23" spans="1:12" ht="22.5" customHeight="1" x14ac:dyDescent="0.2">
      <c r="A23" s="2">
        <v>46284.489228958337</v>
      </c>
      <c r="B23" s="3" t="s">
        <v>40</v>
      </c>
      <c r="C23" s="3" t="s">
        <v>14</v>
      </c>
      <c r="D23" s="3" t="s">
        <v>14</v>
      </c>
      <c r="E23" s="3" t="s">
        <v>13</v>
      </c>
      <c r="F23" s="3" t="s">
        <v>13</v>
      </c>
      <c r="G23" s="3" t="s">
        <v>13</v>
      </c>
      <c r="H23" s="3" t="s">
        <v>13</v>
      </c>
      <c r="I23" s="3" t="s">
        <v>13</v>
      </c>
      <c r="J23" s="3" t="s">
        <v>13</v>
      </c>
      <c r="K23" s="3" t="s">
        <v>13</v>
      </c>
      <c r="L23" s="3" t="s">
        <v>13</v>
      </c>
    </row>
    <row r="24" spans="1:12" ht="22.5" customHeight="1" x14ac:dyDescent="0.2">
      <c r="A24" s="2">
        <v>46284.500842789363</v>
      </c>
      <c r="B24" s="3" t="s">
        <v>41</v>
      </c>
      <c r="C24" s="3" t="s">
        <v>14</v>
      </c>
      <c r="D24" s="3" t="s">
        <v>13</v>
      </c>
      <c r="E24" s="3" t="s">
        <v>14</v>
      </c>
      <c r="F24" s="3" t="s">
        <v>13</v>
      </c>
      <c r="G24" s="3" t="s">
        <v>13</v>
      </c>
      <c r="H24" s="3" t="s">
        <v>13</v>
      </c>
      <c r="I24" s="3" t="s">
        <v>14</v>
      </c>
      <c r="J24" s="3" t="s">
        <v>13</v>
      </c>
      <c r="K24" s="3" t="s">
        <v>13</v>
      </c>
      <c r="L24" s="3" t="s">
        <v>13</v>
      </c>
    </row>
    <row r="25" spans="1:12" ht="22.5" customHeight="1" x14ac:dyDescent="0.2">
      <c r="A25" s="2">
        <v>46284.512139004633</v>
      </c>
      <c r="B25" s="3" t="s">
        <v>42</v>
      </c>
      <c r="C25" s="3" t="s">
        <v>13</v>
      </c>
      <c r="D25" s="3" t="s">
        <v>17</v>
      </c>
      <c r="E25" s="3" t="s">
        <v>13</v>
      </c>
      <c r="F25" s="3" t="s">
        <v>13</v>
      </c>
      <c r="G25" s="3" t="s">
        <v>13</v>
      </c>
      <c r="H25" s="3" t="s">
        <v>14</v>
      </c>
      <c r="I25" s="3" t="s">
        <v>19</v>
      </c>
      <c r="J25" s="3" t="s">
        <v>13</v>
      </c>
      <c r="K25" s="3" t="s">
        <v>14</v>
      </c>
      <c r="L25" s="3" t="s">
        <v>13</v>
      </c>
    </row>
    <row r="26" spans="1:12" ht="22.5" customHeight="1" x14ac:dyDescent="0.2">
      <c r="A26" s="2">
        <v>46284.52056971065</v>
      </c>
      <c r="B26" s="3" t="s">
        <v>43</v>
      </c>
      <c r="C26" s="3" t="s">
        <v>14</v>
      </c>
      <c r="D26" s="3" t="s">
        <v>14</v>
      </c>
      <c r="E26" s="3" t="s">
        <v>13</v>
      </c>
      <c r="F26" s="3" t="s">
        <v>13</v>
      </c>
      <c r="G26" s="3" t="s">
        <v>13</v>
      </c>
      <c r="H26" s="3" t="s">
        <v>13</v>
      </c>
      <c r="I26" s="3" t="s">
        <v>13</v>
      </c>
      <c r="J26" s="3" t="s">
        <v>13</v>
      </c>
      <c r="K26" s="3" t="s">
        <v>13</v>
      </c>
      <c r="L26" s="3" t="s">
        <v>13</v>
      </c>
    </row>
    <row r="27" spans="1:12" ht="22.5" customHeight="1" x14ac:dyDescent="0.2">
      <c r="A27" s="2">
        <v>46284.520775810182</v>
      </c>
      <c r="B27" s="3" t="s">
        <v>44</v>
      </c>
      <c r="C27" s="3" t="s">
        <v>13</v>
      </c>
      <c r="D27" s="3" t="s">
        <v>14</v>
      </c>
      <c r="E27" s="3" t="s">
        <v>14</v>
      </c>
      <c r="F27" s="3" t="s">
        <v>13</v>
      </c>
      <c r="G27" s="3" t="s">
        <v>13</v>
      </c>
      <c r="H27" s="3" t="s">
        <v>13</v>
      </c>
      <c r="I27" s="3" t="s">
        <v>13</v>
      </c>
      <c r="J27" s="3" t="s">
        <v>13</v>
      </c>
      <c r="K27" s="3" t="s">
        <v>13</v>
      </c>
      <c r="L27" s="3" t="s">
        <v>13</v>
      </c>
    </row>
    <row r="28" spans="1:12" ht="22.5" customHeight="1" x14ac:dyDescent="0.2">
      <c r="A28" s="2">
        <v>46284.528274212957</v>
      </c>
      <c r="B28" s="3" t="s">
        <v>45</v>
      </c>
      <c r="C28" s="3" t="s">
        <v>14</v>
      </c>
      <c r="D28" s="3" t="s">
        <v>13</v>
      </c>
      <c r="E28" s="3" t="s">
        <v>13</v>
      </c>
      <c r="F28" s="3" t="s">
        <v>13</v>
      </c>
      <c r="G28" s="3" t="s">
        <v>13</v>
      </c>
      <c r="H28" s="3" t="s">
        <v>13</v>
      </c>
      <c r="I28" s="3" t="s">
        <v>19</v>
      </c>
      <c r="J28" s="3" t="s">
        <v>13</v>
      </c>
      <c r="K28" s="3" t="s">
        <v>13</v>
      </c>
      <c r="L28" s="3" t="s">
        <v>13</v>
      </c>
    </row>
    <row r="29" spans="1:12" ht="22.5" customHeight="1" x14ac:dyDescent="0.2">
      <c r="A29" s="2">
        <v>46284.53519505787</v>
      </c>
      <c r="B29" s="3" t="s">
        <v>46</v>
      </c>
      <c r="C29" s="3" t="s">
        <v>14</v>
      </c>
      <c r="D29" s="3" t="s">
        <v>13</v>
      </c>
      <c r="E29" s="3" t="s">
        <v>14</v>
      </c>
      <c r="F29" s="3" t="s">
        <v>13</v>
      </c>
      <c r="G29" s="3" t="s">
        <v>13</v>
      </c>
      <c r="H29" s="3" t="s">
        <v>13</v>
      </c>
      <c r="I29" s="3" t="s">
        <v>14</v>
      </c>
      <c r="J29" s="3" t="s">
        <v>13</v>
      </c>
      <c r="K29" s="3" t="s">
        <v>13</v>
      </c>
      <c r="L29" s="3" t="s">
        <v>13</v>
      </c>
    </row>
    <row r="30" spans="1:12" ht="22.5" customHeight="1" x14ac:dyDescent="0.2">
      <c r="A30" s="2">
        <v>46284.540790115738</v>
      </c>
      <c r="B30" s="3" t="s">
        <v>47</v>
      </c>
      <c r="C30" s="3" t="s">
        <v>14</v>
      </c>
      <c r="D30" s="3" t="s">
        <v>13</v>
      </c>
      <c r="E30" s="3" t="s">
        <v>14</v>
      </c>
      <c r="F30" s="3" t="s">
        <v>18</v>
      </c>
      <c r="G30" s="3" t="s">
        <v>13</v>
      </c>
      <c r="H30" s="3" t="s">
        <v>13</v>
      </c>
      <c r="I30" s="3" t="s">
        <v>13</v>
      </c>
      <c r="J30" s="3" t="s">
        <v>13</v>
      </c>
      <c r="K30" s="3" t="s">
        <v>13</v>
      </c>
      <c r="L30" s="3" t="s">
        <v>13</v>
      </c>
    </row>
    <row r="31" spans="1:12" ht="22.5" customHeight="1" x14ac:dyDescent="0.2">
      <c r="A31" s="2">
        <v>46284.577987662044</v>
      </c>
      <c r="B31" s="3" t="s">
        <v>48</v>
      </c>
      <c r="C31" s="3" t="s">
        <v>14</v>
      </c>
      <c r="D31" s="3" t="s">
        <v>14</v>
      </c>
      <c r="E31" s="3" t="s">
        <v>14</v>
      </c>
      <c r="F31" s="3" t="s">
        <v>14</v>
      </c>
      <c r="G31" s="3" t="s">
        <v>15</v>
      </c>
      <c r="H31" s="3" t="s">
        <v>13</v>
      </c>
      <c r="I31" s="3" t="s">
        <v>13</v>
      </c>
      <c r="J31" s="3" t="s">
        <v>14</v>
      </c>
      <c r="K31" s="3" t="s">
        <v>14</v>
      </c>
      <c r="L31" s="3" t="s">
        <v>14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75"/>
  <sheetViews>
    <sheetView showGridLines="0" tabSelected="1" topLeftCell="A62" workbookViewId="0">
      <selection activeCell="A70" sqref="A70"/>
    </sheetView>
  </sheetViews>
  <sheetFormatPr baseColWidth="10" defaultColWidth="9.140625" defaultRowHeight="12.75" x14ac:dyDescent="0.2"/>
  <cols>
    <col min="1" max="1" width="5.85546875" bestFit="1" customWidth="1"/>
    <col min="2" max="2" width="34" customWidth="1"/>
    <col min="3" max="3" width="15" customWidth="1"/>
    <col min="4" max="4" width="11" customWidth="1"/>
  </cols>
  <sheetData>
    <row r="2" spans="1:4" ht="45.95" customHeight="1" x14ac:dyDescent="0.2">
      <c r="A2" s="5">
        <v>1</v>
      </c>
      <c r="B2" s="13" t="s">
        <v>49</v>
      </c>
      <c r="C2" s="14"/>
      <c r="D2" s="14"/>
    </row>
    <row r="4" spans="1:4" x14ac:dyDescent="0.2">
      <c r="B4" s="6" t="s">
        <v>50</v>
      </c>
      <c r="C4" s="6" t="s">
        <v>51</v>
      </c>
      <c r="D4" s="6" t="s">
        <v>52</v>
      </c>
    </row>
    <row r="5" spans="1:4" x14ac:dyDescent="0.2">
      <c r="A5" s="7">
        <v>1</v>
      </c>
      <c r="B5" s="8" t="s">
        <v>14</v>
      </c>
      <c r="C5" s="9">
        <v>20</v>
      </c>
      <c r="D5" s="10">
        <f>IFERROR(C5/$C$7,0)</f>
        <v>0.66666666666666663</v>
      </c>
    </row>
    <row r="6" spans="1:4" x14ac:dyDescent="0.2">
      <c r="A6" s="7">
        <v>2</v>
      </c>
      <c r="B6" s="8" t="s">
        <v>13</v>
      </c>
      <c r="C6" s="9">
        <v>10</v>
      </c>
      <c r="D6" s="10">
        <f>IFERROR(C6/$C$7,0)</f>
        <v>0.33333333333333331</v>
      </c>
    </row>
    <row r="7" spans="1:4" x14ac:dyDescent="0.2">
      <c r="B7" s="11" t="s">
        <v>53</v>
      </c>
      <c r="C7" s="11">
        <f>SUM(C5:C6)</f>
        <v>30</v>
      </c>
      <c r="D7" s="12">
        <f>SUM(D5:D6)</f>
        <v>1</v>
      </c>
    </row>
    <row r="9" spans="1:4" ht="45.95" customHeight="1" x14ac:dyDescent="0.2">
      <c r="A9" s="5">
        <v>2</v>
      </c>
      <c r="B9" s="13" t="s">
        <v>54</v>
      </c>
      <c r="C9" s="14"/>
      <c r="D9" s="14"/>
    </row>
    <row r="11" spans="1:4" x14ac:dyDescent="0.2">
      <c r="B11" s="6" t="s">
        <v>50</v>
      </c>
      <c r="C11" s="6" t="s">
        <v>51</v>
      </c>
      <c r="D11" s="6" t="s">
        <v>52</v>
      </c>
    </row>
    <row r="12" spans="1:4" x14ac:dyDescent="0.2">
      <c r="A12" s="7">
        <v>1</v>
      </c>
      <c r="B12" s="8" t="s">
        <v>13</v>
      </c>
      <c r="C12" s="9">
        <v>17</v>
      </c>
      <c r="D12" s="10">
        <f>IFERROR(C12/$C$15,0)</f>
        <v>0.56666666666666665</v>
      </c>
    </row>
    <row r="13" spans="1:4" x14ac:dyDescent="0.2">
      <c r="A13" s="7">
        <v>2</v>
      </c>
      <c r="B13" s="8" t="s">
        <v>14</v>
      </c>
      <c r="C13" s="9">
        <v>8</v>
      </c>
      <c r="D13" s="10">
        <f>IFERROR(C13/$C$15,0)</f>
        <v>0.26666666666666666</v>
      </c>
    </row>
    <row r="14" spans="1:4" x14ac:dyDescent="0.2">
      <c r="A14" s="7">
        <v>3</v>
      </c>
      <c r="B14" s="8" t="s">
        <v>17</v>
      </c>
      <c r="C14" s="9">
        <v>5</v>
      </c>
      <c r="D14" s="10">
        <f>IFERROR(C14/$C$15,0)</f>
        <v>0.16666666666666666</v>
      </c>
    </row>
    <row r="15" spans="1:4" x14ac:dyDescent="0.2">
      <c r="B15" s="11" t="s">
        <v>53</v>
      </c>
      <c r="C15" s="11">
        <f>SUM(C12:C14)</f>
        <v>30</v>
      </c>
      <c r="D15" s="12">
        <f>SUM(D12:D14)</f>
        <v>0.99999999999999989</v>
      </c>
    </row>
    <row r="17" spans="1:4" ht="45.95" customHeight="1" x14ac:dyDescent="0.2">
      <c r="A17" s="5">
        <v>3</v>
      </c>
      <c r="B17" s="13" t="s">
        <v>55</v>
      </c>
      <c r="C17" s="14"/>
      <c r="D17" s="14"/>
    </row>
    <row r="19" spans="1:4" x14ac:dyDescent="0.2">
      <c r="B19" s="6" t="s">
        <v>50</v>
      </c>
      <c r="C19" s="6" t="s">
        <v>51</v>
      </c>
      <c r="D19" s="6" t="s">
        <v>52</v>
      </c>
    </row>
    <row r="20" spans="1:4" x14ac:dyDescent="0.2">
      <c r="A20" s="7">
        <v>1</v>
      </c>
      <c r="B20" s="8" t="s">
        <v>14</v>
      </c>
      <c r="C20" s="9">
        <v>15</v>
      </c>
      <c r="D20" s="10">
        <f>IFERROR(C20/$C$23,0)</f>
        <v>0.5</v>
      </c>
    </row>
    <row r="21" spans="1:4" x14ac:dyDescent="0.2">
      <c r="A21" s="7">
        <v>2</v>
      </c>
      <c r="B21" s="8" t="s">
        <v>13</v>
      </c>
      <c r="C21" s="9">
        <v>14</v>
      </c>
      <c r="D21" s="10">
        <f>IFERROR(C21/$C$23,0)</f>
        <v>0.46666666666666667</v>
      </c>
    </row>
    <row r="22" spans="1:4" x14ac:dyDescent="0.2">
      <c r="A22" s="7">
        <v>3</v>
      </c>
      <c r="B22" s="8" t="s">
        <v>21</v>
      </c>
      <c r="C22" s="9">
        <v>1</v>
      </c>
      <c r="D22" s="10">
        <f>IFERROR(C22/$C$23,0)</f>
        <v>3.3333333333333333E-2</v>
      </c>
    </row>
    <row r="23" spans="1:4" x14ac:dyDescent="0.2">
      <c r="B23" s="11" t="s">
        <v>53</v>
      </c>
      <c r="C23" s="11">
        <f>SUM(C20:C22)</f>
        <v>30</v>
      </c>
      <c r="D23" s="12">
        <f>SUM(D20:D22)</f>
        <v>1</v>
      </c>
    </row>
    <row r="25" spans="1:4" ht="45.95" customHeight="1" x14ac:dyDescent="0.2">
      <c r="A25" s="5">
        <v>4</v>
      </c>
      <c r="B25" s="13" t="s">
        <v>56</v>
      </c>
      <c r="C25" s="14"/>
      <c r="D25" s="14"/>
    </row>
    <row r="27" spans="1:4" x14ac:dyDescent="0.2">
      <c r="B27" s="6" t="s">
        <v>50</v>
      </c>
      <c r="C27" s="6" t="s">
        <v>51</v>
      </c>
      <c r="D27" s="6" t="s">
        <v>52</v>
      </c>
    </row>
    <row r="28" spans="1:4" x14ac:dyDescent="0.2">
      <c r="A28" s="7">
        <v>1</v>
      </c>
      <c r="B28" s="8" t="s">
        <v>13</v>
      </c>
      <c r="C28" s="9">
        <v>22</v>
      </c>
      <c r="D28" s="10">
        <f>IFERROR(C28/$C$31,0)</f>
        <v>0.73333333333333328</v>
      </c>
    </row>
    <row r="29" spans="1:4" x14ac:dyDescent="0.2">
      <c r="A29" s="7">
        <v>2</v>
      </c>
      <c r="B29" s="8" t="s">
        <v>18</v>
      </c>
      <c r="C29" s="9">
        <v>5</v>
      </c>
      <c r="D29" s="10">
        <f>IFERROR(C29/$C$31,0)</f>
        <v>0.16666666666666666</v>
      </c>
    </row>
    <row r="30" spans="1:4" x14ac:dyDescent="0.2">
      <c r="A30" s="7">
        <v>3</v>
      </c>
      <c r="B30" s="8" t="s">
        <v>14</v>
      </c>
      <c r="C30" s="9">
        <v>3</v>
      </c>
      <c r="D30" s="10">
        <f>IFERROR(C30/$C$31,0)</f>
        <v>0.1</v>
      </c>
    </row>
    <row r="31" spans="1:4" x14ac:dyDescent="0.2">
      <c r="B31" s="11" t="s">
        <v>53</v>
      </c>
      <c r="C31" s="11">
        <f>SUM(C28:C30)</f>
        <v>30</v>
      </c>
      <c r="D31" s="12">
        <f>SUM(D28:D30)</f>
        <v>0.99999999999999989</v>
      </c>
    </row>
    <row r="33" spans="1:4" ht="45.95" customHeight="1" x14ac:dyDescent="0.2">
      <c r="A33" s="5">
        <v>5</v>
      </c>
      <c r="B33" s="13" t="s">
        <v>57</v>
      </c>
      <c r="C33" s="14"/>
      <c r="D33" s="14"/>
    </row>
    <row r="35" spans="1:4" x14ac:dyDescent="0.2">
      <c r="B35" s="6" t="s">
        <v>50</v>
      </c>
      <c r="C35" s="6" t="s">
        <v>51</v>
      </c>
      <c r="D35" s="6" t="s">
        <v>52</v>
      </c>
    </row>
    <row r="36" spans="1:4" x14ac:dyDescent="0.2">
      <c r="A36" s="7">
        <v>1</v>
      </c>
      <c r="B36" s="8" t="s">
        <v>13</v>
      </c>
      <c r="C36" s="9">
        <v>23</v>
      </c>
      <c r="D36" s="10">
        <f>IFERROR(C36/$C$39,0)</f>
        <v>0.76666666666666672</v>
      </c>
    </row>
    <row r="37" spans="1:4" x14ac:dyDescent="0.2">
      <c r="A37" s="7">
        <v>2</v>
      </c>
      <c r="B37" s="8" t="s">
        <v>15</v>
      </c>
      <c r="C37" s="9">
        <v>5</v>
      </c>
      <c r="D37" s="10">
        <f>IFERROR(C37/$C$39,0)</f>
        <v>0.16666666666666666</v>
      </c>
    </row>
    <row r="38" spans="1:4" x14ac:dyDescent="0.2">
      <c r="A38" s="7">
        <v>3</v>
      </c>
      <c r="B38" s="8" t="s">
        <v>14</v>
      </c>
      <c r="C38" s="9">
        <v>2</v>
      </c>
      <c r="D38" s="10">
        <f>IFERROR(C38/$C$39,0)</f>
        <v>6.6666666666666666E-2</v>
      </c>
    </row>
    <row r="39" spans="1:4" x14ac:dyDescent="0.2">
      <c r="B39" s="11" t="s">
        <v>53</v>
      </c>
      <c r="C39" s="11">
        <f>SUM(C36:C38)</f>
        <v>30</v>
      </c>
      <c r="D39" s="12">
        <f>SUM(D36:D38)</f>
        <v>1</v>
      </c>
    </row>
    <row r="41" spans="1:4" ht="45.95" customHeight="1" x14ac:dyDescent="0.2">
      <c r="A41" s="5">
        <v>6</v>
      </c>
      <c r="B41" s="13" t="s">
        <v>58</v>
      </c>
      <c r="C41" s="14"/>
      <c r="D41" s="14"/>
    </row>
    <row r="43" spans="1:4" x14ac:dyDescent="0.2">
      <c r="B43" s="6" t="s">
        <v>50</v>
      </c>
      <c r="C43" s="6" t="s">
        <v>51</v>
      </c>
      <c r="D43" s="6" t="s">
        <v>52</v>
      </c>
    </row>
    <row r="44" spans="1:4" x14ac:dyDescent="0.2">
      <c r="A44" s="7">
        <v>1</v>
      </c>
      <c r="B44" s="8" t="s">
        <v>13</v>
      </c>
      <c r="C44" s="9">
        <v>24</v>
      </c>
      <c r="D44" s="10">
        <f>IFERROR(C44/$C$46,0)</f>
        <v>0.8</v>
      </c>
    </row>
    <row r="45" spans="1:4" x14ac:dyDescent="0.2">
      <c r="A45" s="7">
        <v>2</v>
      </c>
      <c r="B45" s="8" t="s">
        <v>14</v>
      </c>
      <c r="C45" s="9">
        <v>6</v>
      </c>
      <c r="D45" s="10">
        <f>IFERROR(C45/$C$46,0)</f>
        <v>0.2</v>
      </c>
    </row>
    <row r="46" spans="1:4" x14ac:dyDescent="0.2">
      <c r="B46" s="11" t="s">
        <v>53</v>
      </c>
      <c r="C46" s="11">
        <f>SUM(C44:C45)</f>
        <v>30</v>
      </c>
      <c r="D46" s="12">
        <f>SUM(D44:D45)</f>
        <v>1</v>
      </c>
    </row>
    <row r="48" spans="1:4" ht="45.95" customHeight="1" x14ac:dyDescent="0.2">
      <c r="A48" s="5">
        <v>7</v>
      </c>
      <c r="B48" s="13" t="s">
        <v>59</v>
      </c>
      <c r="C48" s="14"/>
      <c r="D48" s="14"/>
    </row>
    <row r="50" spans="1:4" x14ac:dyDescent="0.2">
      <c r="B50" s="6" t="s">
        <v>50</v>
      </c>
      <c r="C50" s="6" t="s">
        <v>51</v>
      </c>
      <c r="D50" s="6" t="s">
        <v>52</v>
      </c>
    </row>
    <row r="51" spans="1:4" x14ac:dyDescent="0.2">
      <c r="A51" s="7">
        <v>1</v>
      </c>
      <c r="B51" s="8" t="s">
        <v>13</v>
      </c>
      <c r="C51" s="9">
        <v>12</v>
      </c>
      <c r="D51" s="10">
        <f>IFERROR(C51/$C$54,0)</f>
        <v>0.4</v>
      </c>
    </row>
    <row r="52" spans="1:4" x14ac:dyDescent="0.2">
      <c r="A52" s="7">
        <v>2</v>
      </c>
      <c r="B52" s="8" t="s">
        <v>14</v>
      </c>
      <c r="C52" s="9">
        <v>9</v>
      </c>
      <c r="D52" s="10">
        <f>IFERROR(C52/$C$54,0)</f>
        <v>0.3</v>
      </c>
    </row>
    <row r="53" spans="1:4" x14ac:dyDescent="0.2">
      <c r="A53" s="7">
        <v>3</v>
      </c>
      <c r="B53" s="8" t="s">
        <v>19</v>
      </c>
      <c r="C53" s="9">
        <v>9</v>
      </c>
      <c r="D53" s="10">
        <f>IFERROR(C53/$C$54,0)</f>
        <v>0.3</v>
      </c>
    </row>
    <row r="54" spans="1:4" x14ac:dyDescent="0.2">
      <c r="B54" s="11" t="s">
        <v>53</v>
      </c>
      <c r="C54" s="11">
        <f>SUM(C51:C53)</f>
        <v>30</v>
      </c>
      <c r="D54" s="12">
        <f>SUM(D51:D53)</f>
        <v>1</v>
      </c>
    </row>
    <row r="56" spans="1:4" ht="45.95" customHeight="1" x14ac:dyDescent="0.2">
      <c r="A56" s="5">
        <v>8</v>
      </c>
      <c r="B56" s="13" t="s">
        <v>60</v>
      </c>
      <c r="C56" s="14"/>
      <c r="D56" s="14"/>
    </row>
    <row r="58" spans="1:4" x14ac:dyDescent="0.2">
      <c r="B58" s="6" t="s">
        <v>50</v>
      </c>
      <c r="C58" s="6" t="s">
        <v>51</v>
      </c>
      <c r="D58" s="6" t="s">
        <v>52</v>
      </c>
    </row>
    <row r="59" spans="1:4" x14ac:dyDescent="0.2">
      <c r="A59" s="7">
        <v>1</v>
      </c>
      <c r="B59" s="8" t="s">
        <v>13</v>
      </c>
      <c r="C59" s="9">
        <v>24</v>
      </c>
      <c r="D59" s="10">
        <f>IFERROR(C59/$C$61,0)</f>
        <v>0.8</v>
      </c>
    </row>
    <row r="60" spans="1:4" x14ac:dyDescent="0.2">
      <c r="A60" s="7">
        <v>2</v>
      </c>
      <c r="B60" s="8" t="s">
        <v>14</v>
      </c>
      <c r="C60" s="9">
        <v>6</v>
      </c>
      <c r="D60" s="10">
        <f>IFERROR(C60/$C$61,0)</f>
        <v>0.2</v>
      </c>
    </row>
    <row r="61" spans="1:4" x14ac:dyDescent="0.2">
      <c r="B61" s="11" t="s">
        <v>53</v>
      </c>
      <c r="C61" s="11">
        <f>SUM(C59:C60)</f>
        <v>30</v>
      </c>
      <c r="D61" s="12">
        <f>SUM(D59:D60)</f>
        <v>1</v>
      </c>
    </row>
    <row r="63" spans="1:4" ht="45.95" customHeight="1" x14ac:dyDescent="0.2">
      <c r="A63" s="5">
        <v>9</v>
      </c>
      <c r="B63" s="13" t="s">
        <v>61</v>
      </c>
      <c r="C63" s="14"/>
      <c r="D63" s="14"/>
    </row>
    <row r="65" spans="1:4" x14ac:dyDescent="0.2">
      <c r="B65" s="6" t="s">
        <v>50</v>
      </c>
      <c r="C65" s="6" t="s">
        <v>51</v>
      </c>
      <c r="D65" s="6" t="s">
        <v>52</v>
      </c>
    </row>
    <row r="66" spans="1:4" x14ac:dyDescent="0.2">
      <c r="A66" s="7">
        <v>1</v>
      </c>
      <c r="B66" s="8" t="s">
        <v>13</v>
      </c>
      <c r="C66" s="9">
        <v>22</v>
      </c>
      <c r="D66" s="10">
        <f>IFERROR(C66/$C$68,0)</f>
        <v>0.73333333333333328</v>
      </c>
    </row>
    <row r="67" spans="1:4" x14ac:dyDescent="0.2">
      <c r="A67" s="7">
        <v>2</v>
      </c>
      <c r="B67" s="8" t="s">
        <v>14</v>
      </c>
      <c r="C67" s="9">
        <v>8</v>
      </c>
      <c r="D67" s="10">
        <f>IFERROR(C67/$C$68,0)</f>
        <v>0.26666666666666666</v>
      </c>
    </row>
    <row r="68" spans="1:4" x14ac:dyDescent="0.2">
      <c r="B68" s="11" t="s">
        <v>53</v>
      </c>
      <c r="C68" s="11">
        <f>SUM(C66:C67)</f>
        <v>30</v>
      </c>
      <c r="D68" s="12">
        <f>SUM(D66:D67)</f>
        <v>1</v>
      </c>
    </row>
    <row r="70" spans="1:4" ht="45.95" customHeight="1" x14ac:dyDescent="0.2">
      <c r="A70" s="5">
        <v>10</v>
      </c>
      <c r="B70" s="13" t="s">
        <v>62</v>
      </c>
      <c r="C70" s="14"/>
      <c r="D70" s="14"/>
    </row>
    <row r="72" spans="1:4" x14ac:dyDescent="0.2">
      <c r="B72" s="6" t="s">
        <v>50</v>
      </c>
      <c r="C72" s="6" t="s">
        <v>51</v>
      </c>
      <c r="D72" s="6" t="s">
        <v>52</v>
      </c>
    </row>
    <row r="73" spans="1:4" x14ac:dyDescent="0.2">
      <c r="A73" s="7">
        <v>1</v>
      </c>
      <c r="B73" s="8" t="s">
        <v>13</v>
      </c>
      <c r="C73" s="9">
        <v>23</v>
      </c>
      <c r="D73" s="10">
        <f>IFERROR(C73/$C$75,0)</f>
        <v>0.76666666666666672</v>
      </c>
    </row>
    <row r="74" spans="1:4" x14ac:dyDescent="0.2">
      <c r="A74" s="7">
        <v>2</v>
      </c>
      <c r="B74" s="8" t="s">
        <v>14</v>
      </c>
      <c r="C74" s="9">
        <v>7</v>
      </c>
      <c r="D74" s="10">
        <f>IFERROR(C74/$C$75,0)</f>
        <v>0.23333333333333334</v>
      </c>
    </row>
    <row r="75" spans="1:4" x14ac:dyDescent="0.2">
      <c r="B75" s="11" t="s">
        <v>53</v>
      </c>
      <c r="C75" s="11">
        <f>SUM(C73:C74)</f>
        <v>30</v>
      </c>
      <c r="D75" s="12">
        <f>SUM(D73:D74)</f>
        <v>1</v>
      </c>
    </row>
  </sheetData>
  <mergeCells count="10">
    <mergeCell ref="B9:D9"/>
    <mergeCell ref="B56:D56"/>
    <mergeCell ref="B70:D70"/>
    <mergeCell ref="B25:D25"/>
    <mergeCell ref="B2:D2"/>
    <mergeCell ref="B33:D33"/>
    <mergeCell ref="B63:D63"/>
    <mergeCell ref="B48:D48"/>
    <mergeCell ref="B41:D41"/>
    <mergeCell ref="B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Respuestas de formulario 1</vt:lpstr>
      <vt:lpstr>Tabulación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E. Herreño P.</cp:lastModifiedBy>
  <dcterms:created xsi:type="dcterms:W3CDTF">2026-09-20T03:31:00Z</dcterms:created>
  <dcterms:modified xsi:type="dcterms:W3CDTF">2026-09-20T03:33:57Z</dcterms:modified>
</cp:coreProperties>
</file>